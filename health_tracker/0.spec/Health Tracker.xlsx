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<sst xmlns="http://schemas.openxmlformats.org/spreadsheetml/2006/main" count="79" uniqueCount="65">
  <si>
    <t xml:space="preserve"># INPUT DATA</t>
  </si>
  <si>
    <t xml:space="preserve"># BODY COMPOSITION </t>
  </si>
  <si>
    <t xml:space="preserve">Metric</t>
  </si>
  <si>
    <t xml:space="preserve">Now</t>
  </si>
  <si>
    <t xml:space="preserve">BMI</t>
  </si>
  <si>
    <t xml:space="preserve">Body Fat %</t>
  </si>
  <si>
    <t xml:space="preserve">Lean Mass %</t>
  </si>
  <si>
    <t xml:space="preserve">Muscle Mass %</t>
  </si>
  <si>
    <t xml:space="preserve">Total Mass (kg)</t>
  </si>
  <si>
    <t xml:space="preserve">  Fat Mass (kg)</t>
  </si>
  <si>
    <t xml:space="preserve">  Lean Mass (kg)</t>
  </si>
  <si>
    <t xml:space="preserve">    Muscle Mass (kg)</t>
  </si>
  <si>
    <t xml:space="preserve">    Water Mass</t>
  </si>
  <si>
    <t xml:space="preserve">    Bone Mass</t>
  </si>
  <si>
    <t xml:space="preserve">Keep Total Mass</t>
  </si>
  <si>
    <t xml:space="preserve">Keep Fat Mass</t>
  </si>
  <si>
    <t xml:space="preserve">Goal</t>
  </si>
  <si>
    <t xml:space="preserve">Delta</t>
  </si>
  <si>
    <t xml:space="preserve">Muscle %</t>
  </si>
  <si>
    <t xml:space="preserve"># HR PERFORMANCE </t>
  </si>
  <si>
    <t xml:space="preserve">HR Max</t>
  </si>
  <si>
    <t xml:space="preserve">HR Rest</t>
  </si>
  <si>
    <t xml:space="preserve">VO2 Max</t>
  </si>
  <si>
    <t xml:space="preserve">Intensity Level</t>
  </si>
  <si>
    <t xml:space="preserve">HR</t>
  </si>
  <si>
    <t xml:space="preserve">% HrMax</t>
  </si>
  <si>
    <t xml:space="preserve">Estimated % of HR Max</t>
  </si>
  <si>
    <t xml:space="preserve">Training Zone</t>
  </si>
  <si>
    <t xml:space="preserve">% of VO2 Max</t>
  </si>
  <si>
    <t xml:space="preserve">Recovery</t>
  </si>
  <si>
    <t xml:space="preserve">&lt; 69%</t>
  </si>
  <si>
    <t xml:space="preserve">Zone 1</t>
  </si>
  <si>
    <t xml:space="preserve">&lt; 50%</t>
  </si>
  <si>
    <t xml:space="preserve">Aerobic Threshold</t>
  </si>
  <si>
    <t xml:space="preserve">70–82%</t>
  </si>
  <si>
    <t xml:space="preserve">Zone 2 / Early Zone 3</t>
  </si>
  <si>
    <t xml:space="preserve">50–70%</t>
  </si>
  <si>
    <t xml:space="preserve">Tempo</t>
  </si>
  <si>
    <t xml:space="preserve">82–91%</t>
  </si>
  <si>
    <t xml:space="preserve">Zone 3 / 4</t>
  </si>
  <si>
    <t xml:space="preserve">70–85%</t>
  </si>
  <si>
    <t xml:space="preserve">Anaerobic Threshold</t>
  </si>
  <si>
    <t xml:space="preserve">91–95%</t>
  </si>
  <si>
    <t xml:space="preserve">Zone 4 (High)</t>
  </si>
  <si>
    <t xml:space="preserve">85–90%</t>
  </si>
  <si>
    <t xml:space="preserve">98–100%</t>
  </si>
  <si>
    <t xml:space="preserve">Zone 5</t>
  </si>
  <si>
    <t xml:space="preserve">95–100%</t>
  </si>
  <si>
    <t xml:space="preserve"># BENCHMARKS </t>
  </si>
  <si>
    <t xml:space="preserve">1. Strength </t>
  </si>
  <si>
    <t xml:space="preserve">squad </t>
  </si>
  <si>
    <t xml:space="preserve">chest</t>
  </si>
  <si>
    <t xml:space="preserve">2. Cardiovascular </t>
  </si>
  <si>
    <t xml:space="preserve">Power</t>
  </si>
  <si>
    <t xml:space="preserve">Min</t>
  </si>
  <si>
    <t xml:space="preserve"># GRAPHICS </t>
  </si>
  <si>
    <t xml:space="preserve"># HISTORICAL DATA LOG</t>
  </si>
  <si>
    <t xml:space="preserve">Date</t>
  </si>
  <si>
    <t xml:space="preserve">Height (cm)</t>
  </si>
  <si>
    <t xml:space="preserve">Weight (kg)</t>
  </si>
  <si>
    <t xml:space="preserve">Belly (cm)</t>
  </si>
  <si>
    <t xml:space="preserve">Neck (cm)</t>
  </si>
  <si>
    <t xml:space="preserve">HRRest</t>
  </si>
  <si>
    <t xml:space="preserve">Age</t>
  </si>
  <si>
    <t xml:space="preserve">VO2Max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</si>
</sst>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"/>
    <numFmt numFmtId="166" formatCode="0.0%"/>
    <numFmt numFmtId="167" formatCode="0%"/>
    <numFmt numFmtId="168" formatCode="#,##0"/>
    <numFmt numFmtId="169" formatCode="d/m/yyyy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666666"/>
        <bgColor rgb="FF808080"/>
      </patternFill>
    </fill>
    <fill>
      <patternFill patternType="solid">
        <fgColor rgb="FF4A86E8"/>
        <bgColor rgb="FF8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86E8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5"/>
  <sheetViews>
    <sheetView showFormulas="tru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1" activeCellId="0" sqref="D1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.88"/>
    <col collapsed="false" customWidth="true" hidden="false" outlineLevel="0" max="7" min="7" style="0" width="12.25"/>
  </cols>
  <sheetData>
    <row r="1" customFormat="false" ht="15.75" hidden="false" customHeight="true" outlineLevel="0" collapsed="false"/>
    <row r="2" customFormat="false" ht="15.75" hidden="false" customHeight="true" outlineLevel="0" collapsed="false"/>
    <row r="3" customFormat="false" ht="15.75" hidden="false" customHeight="true" outlineLevel="0" collapsed="false">
      <c r="A3" s="1" t="s">
        <v>0</v>
      </c>
    </row>
    <row r="4" customFormat="false" ht="15.75" hidden="false" customHeight="true" outlineLevel="0" collapsed="false"/>
    <row r="5" customFormat="false" ht="15.75" hidden="false" customHeight="true" outlineLevel="0" collapsed="false"/>
    <row r="6" customFormat="false" ht="15.75" hidden="false" customHeight="true" outlineLevel="0" collapsed="false">
      <c r="A6" s="1" t="s">
        <v>1</v>
      </c>
    </row>
    <row r="7" customFormat="false" ht="15.75" hidden="false" customHeight="true" outlineLevel="0" collapsed="false">
      <c r="A7" s="2" t="s">
        <v>2</v>
      </c>
      <c r="B7" s="2" t="s">
        <v>3</v>
      </c>
    </row>
    <row r="8" customFormat="false" ht="15.75" hidden="false" customHeight="true" outlineLevel="0" collapsed="false">
      <c r="A8" s="3" t="s">
        <v>4</v>
      </c>
      <c r="B8" s="4" t="n">
        <f aca="false">B13/((B68/100)^2)</f>
        <v>24.16326531</v>
      </c>
    </row>
    <row r="9" customFormat="false" ht="15.75" hidden="false" customHeight="true" outlineLevel="0" collapsed="false">
      <c r="A9" s="3" t="s">
        <v>5</v>
      </c>
      <c r="B9" s="5" t="n">
        <f aca="false">(495/(1.0324-0.19077*LOG10(D68-E68)+0.15456*LOG10(B68))-450)/100</f>
        <v>0.1535650685</v>
      </c>
    </row>
    <row r="10" customFormat="false" ht="15.75" hidden="false" customHeight="true" outlineLevel="0" collapsed="false">
      <c r="A10" s="3" t="s">
        <v>6</v>
      </c>
      <c r="B10" s="6" t="n">
        <f aca="false">1-B9</f>
        <v>0.8464349315</v>
      </c>
    </row>
    <row r="11" customFormat="false" ht="15.75" hidden="false" customHeight="true" outlineLevel="0" collapsed="false">
      <c r="A11" s="3" t="s">
        <v>7</v>
      </c>
      <c r="B11" s="6" t="n">
        <f aca="false">B16/B13</f>
        <v>0.3114349315</v>
      </c>
    </row>
    <row r="12" customFormat="false" ht="15.75" hidden="false" customHeight="true" outlineLevel="0" collapsed="false">
      <c r="A12" s="3"/>
      <c r="B12" s="4"/>
    </row>
    <row r="13" customFormat="false" ht="15.75" hidden="false" customHeight="true" outlineLevel="0" collapsed="false">
      <c r="A13" s="3" t="s">
        <v>8</v>
      </c>
      <c r="B13" s="4" t="n">
        <f aca="false">C68</f>
        <v>74</v>
      </c>
    </row>
    <row r="14" customFormat="false" ht="15.75" hidden="false" customHeight="true" outlineLevel="0" collapsed="false">
      <c r="A14" s="3" t="s">
        <v>9</v>
      </c>
      <c r="B14" s="4" t="n">
        <f aca="false">B9*B13</f>
        <v>11.36381507</v>
      </c>
    </row>
    <row r="15" customFormat="false" ht="15.75" hidden="false" customHeight="true" outlineLevel="0" collapsed="false">
      <c r="A15" s="3" t="s">
        <v>10</v>
      </c>
      <c r="B15" s="4" t="n">
        <f aca="false">B13-B14</f>
        <v>62.63618493</v>
      </c>
    </row>
    <row r="16" customFormat="false" ht="15.75" hidden="false" customHeight="true" outlineLevel="0" collapsed="false">
      <c r="A16" s="3" t="s">
        <v>11</v>
      </c>
      <c r="B16" s="4" t="n">
        <f aca="false">B15-B18-B17</f>
        <v>23.04618493</v>
      </c>
    </row>
    <row r="17" customFormat="false" ht="15.75" hidden="false" customHeight="true" outlineLevel="0" collapsed="false">
      <c r="A17" s="3" t="s">
        <v>12</v>
      </c>
      <c r="B17" s="4" t="n">
        <f aca="false">B13*0.5</f>
        <v>37</v>
      </c>
    </row>
    <row r="18" customFormat="false" ht="15.75" hidden="false" customHeight="true" outlineLevel="0" collapsed="false">
      <c r="A18" s="3" t="s">
        <v>13</v>
      </c>
      <c r="B18" s="4" t="n">
        <f aca="false">B13*0.035</f>
        <v>2.59</v>
      </c>
    </row>
    <row r="19" customFormat="false" ht="15.75" hidden="false" customHeight="true" outlineLevel="0" collapsed="false">
      <c r="C19" s="4"/>
    </row>
    <row r="20" customFormat="false" ht="15.75" hidden="false" customHeight="true" outlineLevel="0" collapsed="false">
      <c r="C20" s="4"/>
    </row>
    <row r="21" customFormat="false" ht="15.75" hidden="false" customHeight="true" outlineLevel="0" collapsed="false">
      <c r="B21" s="3" t="s">
        <v>14</v>
      </c>
      <c r="D21" s="4"/>
      <c r="E21" s="3" t="s">
        <v>15</v>
      </c>
    </row>
    <row r="22" customFormat="false" ht="15.75" hidden="false" customHeight="true" outlineLevel="0" collapsed="false">
      <c r="B22" s="3" t="s">
        <v>16</v>
      </c>
      <c r="C22" s="3" t="s">
        <v>17</v>
      </c>
      <c r="E22" s="3" t="s">
        <v>16</v>
      </c>
      <c r="F22" s="3" t="s">
        <v>17</v>
      </c>
    </row>
    <row r="23" customFormat="false" ht="15.75" hidden="false" customHeight="true" outlineLevel="0" collapsed="false">
      <c r="A23" s="3" t="s">
        <v>4</v>
      </c>
      <c r="B23" s="4" t="n">
        <f aca="false">B28/(($B$68/100)^2)</f>
        <v>24.16326531</v>
      </c>
      <c r="C23" s="4" t="n">
        <f aca="false">B23-$B8</f>
        <v>0</v>
      </c>
      <c r="E23" s="4" t="n">
        <f aca="false">E28/(($B$68/100)^2)</f>
        <v>30.92194577</v>
      </c>
      <c r="F23" s="4" t="n">
        <f aca="false">E23-$B8</f>
        <v>6.75868046</v>
      </c>
    </row>
    <row r="24" customFormat="false" ht="15.75" hidden="false" customHeight="true" outlineLevel="0" collapsed="false">
      <c r="A24" s="3" t="s">
        <v>5</v>
      </c>
      <c r="B24" s="7" t="n">
        <v>0.12</v>
      </c>
      <c r="C24" s="6" t="n">
        <f aca="false">B24-$B9</f>
        <v>-0.0335650685</v>
      </c>
      <c r="E24" s="7" t="n">
        <v>0.12</v>
      </c>
      <c r="F24" s="6" t="n">
        <f aca="false">E24-$B9</f>
        <v>-0.0335650685</v>
      </c>
    </row>
    <row r="25" customFormat="false" ht="15.75" hidden="false" customHeight="true" outlineLevel="0" collapsed="false">
      <c r="A25" s="3" t="s">
        <v>6</v>
      </c>
      <c r="B25" s="6" t="n">
        <f aca="false">1-B24</f>
        <v>0.88</v>
      </c>
      <c r="C25" s="6" t="n">
        <f aca="false">B25-$B10</f>
        <v>0.0335650685</v>
      </c>
      <c r="E25" s="6" t="n">
        <f aca="false">1-E24</f>
        <v>0.88</v>
      </c>
      <c r="F25" s="6" t="n">
        <f aca="false">E25-$B10</f>
        <v>0.0335650685</v>
      </c>
    </row>
    <row r="26" customFormat="false" ht="15.75" hidden="false" customHeight="true" outlineLevel="0" collapsed="false">
      <c r="A26" s="3" t="s">
        <v>18</v>
      </c>
      <c r="B26" s="7" t="n">
        <v>0.4</v>
      </c>
      <c r="C26" s="6" t="n">
        <f aca="false">B26-$B11</f>
        <v>0.0885650685</v>
      </c>
      <c r="E26" s="7" t="n">
        <v>0.4</v>
      </c>
      <c r="F26" s="6" t="n">
        <f aca="false">E26-$B11</f>
        <v>0.0885650685</v>
      </c>
    </row>
    <row r="27" customFormat="false" ht="15.75" hidden="false" customHeight="true" outlineLevel="0" collapsed="false"/>
    <row r="28" customFormat="false" ht="15.75" hidden="false" customHeight="true" outlineLevel="0" collapsed="false">
      <c r="A28" s="3" t="s">
        <v>8</v>
      </c>
      <c r="B28" s="8" t="n">
        <f aca="false">B13</f>
        <v>74</v>
      </c>
      <c r="C28" s="4" t="n">
        <f aca="false">B28-$B13</f>
        <v>0</v>
      </c>
      <c r="E28" s="4" t="n">
        <f aca="false">E29/E24</f>
        <v>94.69845894</v>
      </c>
      <c r="F28" s="4" t="n">
        <f aca="false">E28-$B13</f>
        <v>20.69845894</v>
      </c>
    </row>
    <row r="29" customFormat="false" ht="15.75" hidden="false" customHeight="true" outlineLevel="0" collapsed="false">
      <c r="A29" s="3" t="s">
        <v>9</v>
      </c>
      <c r="B29" s="4" t="n">
        <f aca="false">B24*B28</f>
        <v>8.88</v>
      </c>
      <c r="C29" s="4" t="n">
        <f aca="false">B29-$B14</f>
        <v>-2.48381507</v>
      </c>
      <c r="E29" s="8" t="n">
        <f aca="false">B14</f>
        <v>11.36381507</v>
      </c>
      <c r="F29" s="4" t="n">
        <f aca="false">E29-$B14</f>
        <v>0</v>
      </c>
    </row>
    <row r="30" customFormat="false" ht="15.75" hidden="false" customHeight="true" outlineLevel="0" collapsed="false">
      <c r="A30" s="3" t="s">
        <v>10</v>
      </c>
      <c r="B30" s="4" t="n">
        <f aca="false">B28-B29</f>
        <v>65.12</v>
      </c>
      <c r="C30" s="4" t="n">
        <f aca="false">B30-$B15</f>
        <v>2.48381507000001</v>
      </c>
      <c r="E30" s="4" t="n">
        <f aca="false">E31+E32+E33</f>
        <v>88.5430591</v>
      </c>
      <c r="F30" s="4" t="n">
        <f aca="false">E30-$B15</f>
        <v>25.90687417</v>
      </c>
    </row>
    <row r="31" customFormat="false" ht="15.75" hidden="false" customHeight="true" outlineLevel="0" collapsed="false">
      <c r="A31" s="3" t="s">
        <v>11</v>
      </c>
      <c r="B31" s="4" t="n">
        <f aca="false">B30-B33-B32</f>
        <v>25.53</v>
      </c>
      <c r="C31" s="4" t="n">
        <f aca="false">B31-$B16</f>
        <v>2.48381507</v>
      </c>
      <c r="E31" s="4" t="n">
        <f aca="false">(E29/E24)*E26</f>
        <v>37.87938357</v>
      </c>
      <c r="F31" s="4" t="n">
        <f aca="false">E31-$B16</f>
        <v>14.83319864</v>
      </c>
    </row>
    <row r="32" customFormat="false" ht="15.75" hidden="false" customHeight="true" outlineLevel="0" collapsed="false">
      <c r="A32" s="3" t="s">
        <v>12</v>
      </c>
      <c r="B32" s="4" t="n">
        <f aca="false">B28*0.5</f>
        <v>37</v>
      </c>
      <c r="C32" s="4" t="n">
        <f aca="false">B32-$B17</f>
        <v>0</v>
      </c>
      <c r="E32" s="4" t="n">
        <f aca="false">E28*0.5</f>
        <v>47.34922947</v>
      </c>
      <c r="F32" s="4" t="n">
        <f aca="false">E32-$B17</f>
        <v>10.34922947</v>
      </c>
    </row>
    <row r="33" customFormat="false" ht="15.75" hidden="false" customHeight="true" outlineLevel="0" collapsed="false">
      <c r="A33" s="3" t="s">
        <v>13</v>
      </c>
      <c r="B33" s="4" t="n">
        <f aca="false">B28*0.035</f>
        <v>2.59</v>
      </c>
      <c r="C33" s="4" t="n">
        <f aca="false">B33-$B18</f>
        <v>0</v>
      </c>
      <c r="E33" s="4" t="n">
        <f aca="false">E28*0.035</f>
        <v>3.314446063</v>
      </c>
      <c r="F33" s="4" t="n">
        <f aca="false">E33-$B18</f>
        <v>0.724446063</v>
      </c>
    </row>
    <row r="34" customFormat="false" ht="15.75" hidden="false" customHeight="true" outlineLevel="0" collapsed="false"/>
    <row r="35" customFormat="false" ht="15.75" hidden="false" customHeight="true" outlineLevel="0" collapsed="false">
      <c r="A35" s="1" t="s">
        <v>19</v>
      </c>
    </row>
    <row r="36" customFormat="false" ht="15.75" hidden="false" customHeight="true" outlineLevel="0" collapsed="false">
      <c r="A36" s="3" t="s">
        <v>20</v>
      </c>
      <c r="B36" s="3" t="n">
        <f aca="false">F68</f>
        <v>182</v>
      </c>
    </row>
    <row r="37" customFormat="false" ht="15.75" hidden="false" customHeight="true" outlineLevel="0" collapsed="false">
      <c r="A37" s="3" t="s">
        <v>21</v>
      </c>
      <c r="B37" s="3" t="n">
        <f aca="false">G68</f>
        <v>52</v>
      </c>
    </row>
    <row r="38" customFormat="false" ht="15.75" hidden="false" customHeight="true" outlineLevel="0" collapsed="false">
      <c r="A38" s="3" t="s">
        <v>22</v>
      </c>
      <c r="B38" s="3" t="n">
        <f aca="false">I68</f>
        <v>0</v>
      </c>
    </row>
    <row r="39" customFormat="false" ht="15.75" hidden="false" customHeight="true" outlineLevel="0" collapsed="false"/>
    <row r="40" customFormat="false" ht="15.75" hidden="false" customHeight="true" outlineLevel="0" collapsed="false">
      <c r="A40" s="2" t="s">
        <v>23</v>
      </c>
      <c r="B40" s="3" t="s">
        <v>24</v>
      </c>
      <c r="C40" s="3" t="s">
        <v>25</v>
      </c>
      <c r="D40" s="2" t="s">
        <v>26</v>
      </c>
      <c r="E40" s="2" t="s">
        <v>27</v>
      </c>
      <c r="F40" s="2" t="s">
        <v>28</v>
      </c>
    </row>
    <row r="41" customFormat="false" ht="15.75" hidden="false" customHeight="true" outlineLevel="0" collapsed="false">
      <c r="A41" s="3" t="s">
        <v>29</v>
      </c>
      <c r="B41" s="9" t="n">
        <f aca="false">$B$45*C41</f>
        <v>109.2</v>
      </c>
      <c r="C41" s="6" t="n">
        <v>0.6</v>
      </c>
      <c r="D41" s="3" t="s">
        <v>30</v>
      </c>
      <c r="E41" s="3" t="s">
        <v>31</v>
      </c>
      <c r="F41" s="3" t="s">
        <v>32</v>
      </c>
    </row>
    <row r="42" customFormat="false" ht="15.75" hidden="false" customHeight="true" outlineLevel="0" collapsed="false">
      <c r="A42" s="3" t="s">
        <v>33</v>
      </c>
      <c r="B42" s="9" t="n">
        <f aca="false">$B$45*C42</f>
        <v>127.4</v>
      </c>
      <c r="C42" s="6" t="n">
        <v>0.7</v>
      </c>
      <c r="D42" s="3" t="s">
        <v>34</v>
      </c>
      <c r="E42" s="3" t="s">
        <v>35</v>
      </c>
      <c r="F42" s="3" t="s">
        <v>36</v>
      </c>
    </row>
    <row r="43" customFormat="false" ht="15.75" hidden="false" customHeight="true" outlineLevel="0" collapsed="false">
      <c r="A43" s="3" t="s">
        <v>37</v>
      </c>
      <c r="B43" s="9" t="n">
        <f aca="false">$B$45*C43</f>
        <v>145.6</v>
      </c>
      <c r="C43" s="6" t="n">
        <v>0.8</v>
      </c>
      <c r="D43" s="3" t="s">
        <v>38</v>
      </c>
      <c r="E43" s="3" t="s">
        <v>39</v>
      </c>
      <c r="F43" s="3" t="s">
        <v>40</v>
      </c>
    </row>
    <row r="44" customFormat="false" ht="15.75" hidden="false" customHeight="true" outlineLevel="0" collapsed="false">
      <c r="A44" s="3" t="s">
        <v>41</v>
      </c>
      <c r="B44" s="9" t="n">
        <f aca="false">$B$45*C44</f>
        <v>163.8</v>
      </c>
      <c r="C44" s="6" t="n">
        <v>0.9</v>
      </c>
      <c r="D44" s="3" t="s">
        <v>42</v>
      </c>
      <c r="E44" s="3" t="s">
        <v>43</v>
      </c>
      <c r="F44" s="3" t="s">
        <v>44</v>
      </c>
    </row>
    <row r="45" customFormat="false" ht="15.75" hidden="false" customHeight="true" outlineLevel="0" collapsed="false">
      <c r="A45" s="3" t="s">
        <v>22</v>
      </c>
      <c r="B45" s="9" t="n">
        <f aca="false">B36</f>
        <v>182</v>
      </c>
      <c r="C45" s="6" t="n">
        <v>1</v>
      </c>
      <c r="D45" s="3" t="s">
        <v>45</v>
      </c>
      <c r="E45" s="3" t="s">
        <v>46</v>
      </c>
      <c r="F45" s="3" t="s">
        <v>47</v>
      </c>
    </row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>
      <c r="A48" s="1" t="s">
        <v>48</v>
      </c>
    </row>
    <row r="49" customFormat="false" ht="15.75" hidden="false" customHeight="true" outlineLevel="0" collapsed="false">
      <c r="A49" s="10" t="s">
        <v>49</v>
      </c>
    </row>
    <row r="50" customFormat="false" ht="15.75" hidden="false" customHeight="true" outlineLevel="0" collapsed="false">
      <c r="A50" s="10" t="s">
        <v>50</v>
      </c>
    </row>
    <row r="51" customFormat="false" ht="15.75" hidden="false" customHeight="true" outlineLevel="0" collapsed="false">
      <c r="A51" s="10" t="s">
        <v>51</v>
      </c>
    </row>
    <row r="52" customFormat="false" ht="15.75" hidden="false" customHeight="true" outlineLevel="0" collapsed="false">
      <c r="A52" s="10"/>
    </row>
    <row r="53" customFormat="false" ht="15.75" hidden="false" customHeight="true" outlineLevel="0" collapsed="false">
      <c r="A53" s="10" t="s">
        <v>52</v>
      </c>
    </row>
    <row r="54" customFormat="false" ht="15.75" hidden="false" customHeight="true" outlineLevel="0" collapsed="false">
      <c r="A54" s="10" t="s">
        <v>53</v>
      </c>
      <c r="B54" s="10" t="s">
        <v>54</v>
      </c>
      <c r="C54" s="10" t="s">
        <v>24</v>
      </c>
    </row>
    <row r="55" customFormat="false" ht="15.75" hidden="false" customHeight="true" outlineLevel="0" collapsed="false">
      <c r="A55" s="1"/>
    </row>
    <row r="56" customFormat="false" ht="15.75" hidden="false" customHeight="true" outlineLevel="0" collapsed="false">
      <c r="A56" s="1"/>
    </row>
    <row r="57" customFormat="false" ht="15.75" hidden="false" customHeight="true" outlineLevel="0" collapsed="false">
      <c r="A57" s="1" t="s">
        <v>55</v>
      </c>
    </row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>
      <c r="A65" s="1" t="s">
        <v>56</v>
      </c>
    </row>
    <row r="66" customFormat="false" ht="15.75" hidden="false" customHeight="true" outlineLevel="0" collapsed="false"/>
    <row r="67" customFormat="false" ht="15.75" hidden="false" customHeight="true" outlineLevel="0" collapsed="false">
      <c r="A67" s="3" t="s">
        <v>57</v>
      </c>
      <c r="B67" s="3" t="s">
        <v>58</v>
      </c>
      <c r="C67" s="3" t="s">
        <v>59</v>
      </c>
      <c r="D67" s="3" t="s">
        <v>60</v>
      </c>
      <c r="E67" s="3" t="s">
        <v>61</v>
      </c>
      <c r="F67" s="3" t="s">
        <v>20</v>
      </c>
      <c r="G67" s="3" t="s">
        <v>62</v>
      </c>
      <c r="H67" s="3" t="s">
        <v>63</v>
      </c>
      <c r="I67" s="3" t="s">
        <v>64</v>
      </c>
    </row>
    <row r="68" customFormat="false" ht="15.75" hidden="false" customHeight="true" outlineLevel="0" collapsed="false">
      <c r="A68" s="11" t="n">
        <v>45987</v>
      </c>
      <c r="B68" s="3" t="n">
        <v>175</v>
      </c>
      <c r="C68" s="3" t="n">
        <v>74</v>
      </c>
      <c r="D68" s="3" t="n">
        <v>84</v>
      </c>
      <c r="E68" s="3" t="n">
        <v>39</v>
      </c>
      <c r="F68" s="3" t="n">
        <f aca="false">220-H68</f>
        <v>182</v>
      </c>
      <c r="G68" s="3" t="n">
        <v>52</v>
      </c>
      <c r="H68" s="3" t="n">
        <v>38</v>
      </c>
    </row>
    <row r="69" customFormat="false" ht="15.75" hidden="false" customHeight="true" outlineLevel="0" collapsed="false">
      <c r="A69" s="11" t="n">
        <v>45622</v>
      </c>
      <c r="B69" s="3" t="n">
        <v>175</v>
      </c>
      <c r="C69" s="3" t="n">
        <v>79</v>
      </c>
      <c r="D69" s="3" t="n">
        <v>89</v>
      </c>
      <c r="E69" s="3" t="n">
        <v>39</v>
      </c>
      <c r="F69" s="3" t="n">
        <f aca="false">220-H69</f>
        <v>183</v>
      </c>
      <c r="G69" s="3" t="n">
        <v>52</v>
      </c>
      <c r="H69" s="3" t="n">
        <v>37</v>
      </c>
    </row>
    <row r="70" customFormat="false" ht="15.75" hidden="false" customHeight="true" outlineLevel="0" collapsed="false">
      <c r="A70" s="11" t="n">
        <v>45256</v>
      </c>
      <c r="B70" s="3" t="n">
        <v>175</v>
      </c>
      <c r="C70" s="3" t="n">
        <v>72</v>
      </c>
      <c r="D70" s="3" t="n">
        <v>80</v>
      </c>
      <c r="E70" s="3" t="n">
        <v>39</v>
      </c>
      <c r="F70" s="3" t="n">
        <f aca="false">220-H70</f>
        <v>184</v>
      </c>
      <c r="G70" s="3" t="n">
        <v>52</v>
      </c>
      <c r="H70" s="3" t="n">
        <v>36</v>
      </c>
    </row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